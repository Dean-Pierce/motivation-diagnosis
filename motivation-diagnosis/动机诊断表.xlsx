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机诊断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宋体"/>
      <b val="1"/>
      <sz val="15"/>
    </font>
    <font>
      <name val="宋体"/>
      <color rgb="00555555"/>
      <sz val="10"/>
    </font>
    <font>
      <name val="宋体"/>
      <b val="1"/>
      <color rgb="00FFFFFF"/>
      <sz val="11"/>
    </font>
    <font>
      <name val="宋体"/>
      <sz val="10"/>
    </font>
    <font>
      <name val="宋体"/>
      <b val="1"/>
      <sz val="13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185FA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2" customWidth="1" min="4" max="4"/>
    <col width="22" customWidth="1" min="5" max="5"/>
    <col width="16" customWidth="1" min="6" max="6"/>
    <col width="8" customWidth="1" min="7" max="7"/>
  </cols>
  <sheetData>
    <row r="1">
      <c r="A1" s="1" t="inlineStr">
        <is>
          <t>动机诊断表（填字母即出结果）</t>
        </is>
      </c>
    </row>
    <row r="2" ht="30" customHeight="1">
      <c r="A2" s="2" t="inlineStr">
        <is>
          <t>在 G 列填入 a/b/c/d；诊断结果会自动计算。也可打印后手写填入再人工判读。</t>
        </is>
      </c>
    </row>
    <row r="3">
      <c r="A3" s="3" t="inlineStr">
        <is>
          <t>题号</t>
        </is>
      </c>
      <c r="B3" s="3" t="inlineStr">
        <is>
          <t>题目</t>
        </is>
      </c>
      <c r="C3" s="3" t="inlineStr">
        <is>
          <t>选项 A</t>
        </is>
      </c>
      <c r="D3" s="3" t="inlineStr">
        <is>
          <t>选项 B</t>
        </is>
      </c>
      <c r="E3" s="3" t="inlineStr">
        <is>
          <t>选项 C</t>
        </is>
      </c>
      <c r="F3" s="3" t="inlineStr">
        <is>
          <t>选项 D</t>
        </is>
      </c>
      <c r="G3" s="3" t="inlineStr">
        <is>
          <t>答案</t>
        </is>
      </c>
    </row>
    <row r="4" ht="30" customHeight="1">
      <c r="A4" s="4" t="n">
        <v>1</v>
      </c>
      <c r="B4" s="5" t="inlineStr">
        <is>
          <t>你/他现在主要卡在哪一环？</t>
        </is>
      </c>
      <c r="C4" s="5" t="inlineStr">
        <is>
          <t>还在想要不要做 / 做什么（定不下目标）</t>
        </is>
      </c>
      <c r="D4" s="5" t="inlineStr">
        <is>
          <t>决定了，但没真正开始投入</t>
        </is>
      </c>
      <c r="E4" s="5" t="inlineStr">
        <is>
          <t>开始了，但坚持不下来 / 容易放弃</t>
        </is>
      </c>
      <c r="F4" s="5" t="inlineStr">
        <is>
          <t>做了，但受挫了、在想还要不要继续</t>
        </is>
      </c>
      <c r="G4" s="4" t="inlineStr"/>
    </row>
    <row r="5" ht="30" customHeight="1">
      <c r="A5" s="4" t="n">
        <v>2</v>
      </c>
      <c r="B5" s="5" t="inlineStr">
        <is>
          <t>对这个具体任务，自己觉得「能做到」吗？</t>
        </is>
      </c>
      <c r="C5" s="5" t="inlineStr">
        <is>
          <t>完全能 / 比较有把握</t>
        </is>
      </c>
      <c r="D5" s="5" t="inlineStr">
        <is>
          <t>不太确定</t>
        </is>
      </c>
      <c r="E5" s="5" t="inlineStr">
        <is>
          <t>觉得做不到</t>
        </is>
      </c>
      <c r="F5" s="5" t="inlineStr"/>
      <c r="G5" s="4" t="inlineStr"/>
    </row>
    <row r="6" ht="30" customHeight="1">
      <c r="A6" s="4" t="n">
        <v>3</v>
      </c>
      <c r="B6" s="5" t="inlineStr">
        <is>
          <t>觉得「做了会有用、有好结果」吗？</t>
        </is>
      </c>
      <c r="C6" s="5" t="inlineStr">
        <is>
          <t>肯定有用</t>
        </is>
      </c>
      <c r="D6" s="5" t="inlineStr">
        <is>
          <t>不一定</t>
        </is>
      </c>
      <c r="E6" s="5" t="inlineStr">
        <is>
          <t>觉得没用</t>
        </is>
      </c>
      <c r="F6" s="5" t="inlineStr"/>
      <c r="G6" s="4" t="inlineStr"/>
    </row>
    <row r="7" ht="30" customHeight="1">
      <c r="A7" s="4" t="n">
        <v>4</v>
      </c>
      <c r="B7" s="5" t="inlineStr">
        <is>
          <t>这件事对你的好处，值得付出的成本吗？</t>
        </is>
      </c>
      <c r="C7" s="5" t="inlineStr">
        <is>
          <t>很值得</t>
        </is>
      </c>
      <c r="D7" s="5" t="inlineStr">
        <is>
          <t>一般</t>
        </is>
      </c>
      <c r="E7" s="5" t="inlineStr">
        <is>
          <t>不值得 / 没意义</t>
        </is>
      </c>
      <c r="F7" s="5" t="inlineStr"/>
      <c r="G7" s="4" t="inlineStr"/>
    </row>
    <row r="8" ht="30" customHeight="1">
      <c r="A8" s="4" t="n">
        <v>5</v>
      </c>
      <c r="B8" s="5" t="inlineStr">
        <is>
          <t>是不是同时有好几个目标在互相打架？</t>
        </is>
      </c>
      <c r="C8" s="5" t="inlineStr">
        <is>
          <t>没有冲突</t>
        </is>
      </c>
      <c r="D8" s="5" t="inlineStr">
        <is>
          <t>有一点</t>
        </is>
      </c>
      <c r="E8" s="5" t="inlineStr">
        <is>
          <t>严重冲突，很内耗</t>
        </is>
      </c>
      <c r="F8" s="5" t="inlineStr"/>
      <c r="G8" s="4" t="inlineStr"/>
    </row>
    <row r="9" ht="30" customHeight="1">
      <c r="A9" s="4" t="n">
        <v>6</v>
      </c>
      <c r="B9" s="5" t="inlineStr">
        <is>
          <t>你更接近哪种说法？</t>
        </is>
      </c>
      <c r="C9" s="5" t="inlineStr">
        <is>
          <t>「我想把 X 做成」（发展 / 求收益）</t>
        </is>
      </c>
      <c r="D9" s="5" t="inlineStr">
        <is>
          <t>「我必须别搞砸 X」（维护 / 避损失）</t>
        </is>
      </c>
      <c r="E9" s="5" t="inlineStr"/>
      <c r="F9" s="5" t="inlineStr"/>
      <c r="G9" s="4" t="inlineStr"/>
    </row>
    <row r="10" ht="30" customHeight="1">
      <c r="A10" s="4" t="n">
        <v>7</v>
      </c>
      <c r="B10" s="5" t="inlineStr">
        <is>
          <t>一遇困难或压力，更像是？</t>
        </is>
      </c>
      <c r="C10" s="5" t="inlineStr">
        <is>
          <t>动不起来、想太多（状态导向）</t>
        </is>
      </c>
      <c r="D10" s="5" t="inlineStr">
        <is>
          <t>直接冲上去干（行动导向）</t>
        </is>
      </c>
      <c r="E10" s="5" t="inlineStr"/>
      <c r="F10" s="5" t="inlineStr"/>
      <c r="G10" s="4" t="inlineStr"/>
    </row>
    <row r="11" ht="30" customHeight="1">
      <c r="A11" s="4" t="n">
        <v>8</v>
      </c>
      <c r="B11" s="5" t="inlineStr">
        <is>
          <t>失败后第一反应是？</t>
        </is>
      </c>
      <c r="C11" s="5" t="inlineStr">
        <is>
          <t>「我不行」（实体论）</t>
        </is>
      </c>
      <c r="D11" s="5" t="inlineStr">
        <is>
          <t>「再试试 / 换个法子」（递增论）</t>
        </is>
      </c>
      <c r="E11" s="5" t="inlineStr"/>
      <c r="F11" s="5" t="inlineStr"/>
      <c r="G11" s="4" t="inlineStr"/>
    </row>
    <row r="14">
      <c r="A14" s="6" t="inlineStr">
        <is>
          <t>诊断结果</t>
        </is>
      </c>
    </row>
    <row r="15">
      <c r="A15" s="7" t="inlineStr">
        <is>
          <t>卡点阶段</t>
        </is>
      </c>
      <c r="C15" s="8">
        <f>IF(G4="a","决策前/目标选择",IF(G4="b","决策/承诺",IF(G4="c","行动/规划",IF(G4="d","行动后/评估","（请填第1题）"))))</f>
        <v/>
      </c>
    </row>
    <row r="16">
      <c r="A16" s="7" t="inlineStr">
        <is>
          <t>需干预机制(选c)</t>
        </is>
      </c>
      <c r="C16" s="8">
        <f>IFERROR(TEXTJOIN("、",TRUE,IF(G5="c","自我效能感",""),IF(G6="c","结果预期",""),IF(G7="c","价值（益处&gt;成本）",""),IF(G8="c","目标冲突",""),IF(G9="c","调节焦点",""),IF(G10="c","行动/状态导向",""),IF(G11="c","心智模式","")),"（无，均正常）")</f>
        <v/>
      </c>
    </row>
    <row r="17">
      <c r="A17" s="7" t="inlineStr">
        <is>
          <t>偏弱机制(选b)</t>
        </is>
      </c>
      <c r="C17" s="8">
        <f>IFERROR(TEXTJOIN("、",TRUE,IF(G5="b","自我效能感",""),IF(G6="b","结果预期",""),IF(G7="b","价值（益处&gt;成本）",""),IF(G8="b","目标冲突",""),IF(G9="b","调节焦点",""),IF(G10="b","行动/状态导向",""),IF(G11="b","心智模式","")),"（无）")</f>
        <v/>
      </c>
    </row>
    <row r="18">
      <c r="A18" s="7" t="inlineStr">
        <is>
          <t>建议干预方向</t>
        </is>
      </c>
      <c r="C18" s="8">
        <f>IF(G4="a","决策前：审慎权衡+目标具体化+查目标冲突",IF(G4="b","承诺：心理对照(WOOP)提升投入",IF(G4="c","行动：执行意向+目标具体化+行动心态",IF(G4="d","评估：处理效能归因，必要时目标解除","（请填第1题）"))))</f>
        <v/>
      </c>
    </row>
  </sheetData>
  <mergeCells count="7">
    <mergeCell ref="A14:G14"/>
    <mergeCell ref="A1:G1"/>
    <mergeCell ref="C16:G16"/>
    <mergeCell ref="C15:G15"/>
    <mergeCell ref="A2:G2"/>
    <mergeCell ref="C18:G18"/>
    <mergeCell ref="C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2026-08-26T09:05:42Z</dcterms:created>
  <dcterms:modified xmlns:dcterms="http://purl.org/dc/terms/" xmlns:xsi="http://www.w3.org/2001/XMLSchema-instance" xsi:type="dcterms:W3CDTF">2026-08-26T09:05:42Z</dcterms:modified>
</cp:coreProperties>
</file>